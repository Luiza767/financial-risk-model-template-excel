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DATA ANALYTIK\Risk Managment\Akademie\"/>
    </mc:Choice>
  </mc:AlternateContent>
  <xr:revisionPtr revIDLastSave="0" documentId="13_ncr:1_{619802F3-E7F7-4914-98B7-2AA80AE60048}" xr6:coauthVersionLast="47" xr6:coauthVersionMax="47" xr10:uidLastSave="{00000000-0000-0000-0000-000000000000}"/>
  <bookViews>
    <workbookView xWindow="-120" yWindow="-120" windowWidth="20730" windowHeight="11310" activeTab="2" xr2:uid="{00000000-000D-0000-FFFF-FFFF00000000}"/>
  </bookViews>
  <sheets>
    <sheet name="Assumptions" sheetId="1" r:id="rId1"/>
    <sheet name="Model" sheetId="2" r:id="rId2"/>
    <sheet name="Debt_Mode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3" l="1"/>
  <c r="E3" i="3"/>
  <c r="B5" i="3"/>
  <c r="C5" i="3" s="1"/>
  <c r="D5" i="3" s="1"/>
  <c r="B3" i="3"/>
  <c r="B6" i="3" s="1"/>
  <c r="C3" i="3" s="1"/>
  <c r="B5" i="2"/>
  <c r="C5" i="2" s="1"/>
  <c r="D5" i="2" l="1"/>
  <c r="D6" i="2" s="1"/>
  <c r="D7" i="2" s="1"/>
  <c r="C6" i="2"/>
  <c r="C7" i="2" s="1"/>
  <c r="C4" i="3"/>
  <c r="C6" i="3"/>
  <c r="D3" i="3" s="1"/>
  <c r="B6" i="2"/>
  <c r="B7" i="2" s="1"/>
  <c r="B4" i="3"/>
  <c r="D6" i="3" l="1"/>
  <c r="D4" i="3"/>
</calcChain>
</file>

<file path=xl/sharedStrings.xml><?xml version="1.0" encoding="utf-8"?>
<sst xmlns="http://schemas.openxmlformats.org/spreadsheetml/2006/main" count="22" uniqueCount="22">
  <si>
    <t>Investice</t>
  </si>
  <si>
    <t>Tržby rok 1</t>
  </si>
  <si>
    <t>Růst tržeb %</t>
  </si>
  <si>
    <t>Marže EBITDA %</t>
  </si>
  <si>
    <t>Diskont %</t>
  </si>
  <si>
    <t>Dluh</t>
  </si>
  <si>
    <t>Úrok %</t>
  </si>
  <si>
    <t>Doba splácení (roky)</t>
  </si>
  <si>
    <t>CAPEX ročně</t>
  </si>
  <si>
    <t>Daň %</t>
  </si>
  <si>
    <t>Working Capital %</t>
  </si>
  <si>
    <t>Dlouhodobý růst g</t>
  </si>
  <si>
    <t>Rok 1</t>
  </si>
  <si>
    <t>Rok 2</t>
  </si>
  <si>
    <t>Rok 3</t>
  </si>
  <si>
    <t>Tržby</t>
  </si>
  <si>
    <t>EBITDA</t>
  </si>
  <si>
    <t>FCF</t>
  </si>
  <si>
    <t>Počáteční dluh</t>
  </si>
  <si>
    <t>Úrok</t>
  </si>
  <si>
    <t>Splátka</t>
  </si>
  <si>
    <t>Zůstatek dluhu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</si>
</sst>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defaultRowHeight="15" x14ac:dyDescent="0.25"/>
  <cols>
    <col min="1" max="1" width="23.7109375" customWidth="1"/>
  </cols>
  <sheetData>
    <row r="1" spans="1:2" x14ac:dyDescent="0.25">
      <c r="A1" t="s">
        <v>0</v>
      </c>
      <c r="B1" s="1">
        <v>1000000</v>
      </c>
    </row>
    <row r="2" spans="1:2" x14ac:dyDescent="0.25">
      <c r="A2" t="s">
        <v>1</v>
      </c>
      <c r="B2" s="1">
        <v>5000000</v>
      </c>
    </row>
    <row r="3" spans="1:2" x14ac:dyDescent="0.25">
      <c r="A3" t="s">
        <v>2</v>
      </c>
      <c r="B3" s="1">
        <v>0.05</v>
      </c>
    </row>
    <row r="4" spans="1:2" x14ac:dyDescent="0.25">
      <c r="A4" t="s">
        <v>3</v>
      </c>
      <c r="B4" s="1">
        <v>0.2</v>
      </c>
    </row>
    <row r="5" spans="1:2" x14ac:dyDescent="0.25">
      <c r="A5" t="s">
        <v>4</v>
      </c>
      <c r="B5" s="1">
        <v>0.08</v>
      </c>
    </row>
    <row r="6" spans="1:2" x14ac:dyDescent="0.25">
      <c r="A6" t="s">
        <v>5</v>
      </c>
      <c r="B6" s="1">
        <v>600000</v>
      </c>
    </row>
    <row r="7" spans="1:2" x14ac:dyDescent="0.25">
      <c r="A7" t="s">
        <v>6</v>
      </c>
      <c r="B7" s="1">
        <v>0.06</v>
      </c>
    </row>
    <row r="8" spans="1:2" x14ac:dyDescent="0.25">
      <c r="A8" t="s">
        <v>7</v>
      </c>
      <c r="B8" s="1">
        <v>3</v>
      </c>
    </row>
    <row r="9" spans="1:2" x14ac:dyDescent="0.25">
      <c r="A9" t="s">
        <v>8</v>
      </c>
      <c r="B9" s="1">
        <v>100000</v>
      </c>
    </row>
    <row r="10" spans="1:2" x14ac:dyDescent="0.25">
      <c r="A10" t="s">
        <v>9</v>
      </c>
      <c r="B10" s="1">
        <v>0.19</v>
      </c>
    </row>
    <row r="11" spans="1:2" x14ac:dyDescent="0.25">
      <c r="A11" t="s">
        <v>10</v>
      </c>
      <c r="B11" s="1">
        <v>0.05</v>
      </c>
    </row>
    <row r="12" spans="1:2" x14ac:dyDescent="0.25">
      <c r="A12" t="s">
        <v>11</v>
      </c>
      <c r="B12" s="1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D7"/>
  <sheetViews>
    <sheetView workbookViewId="0"/>
  </sheetViews>
  <sheetFormatPr defaultRowHeight="15" x14ac:dyDescent="0.25"/>
  <sheetData>
    <row r="4" spans="1:4" x14ac:dyDescent="0.25">
      <c r="A4" t="s">
        <v>12</v>
      </c>
      <c r="B4" t="s">
        <v>13</v>
      </c>
      <c r="C4" t="s">
        <v>14</v>
      </c>
    </row>
    <row r="5" spans="1:4" x14ac:dyDescent="0.25">
      <c r="A5" s="2" t="s">
        <v>15</v>
      </c>
      <c r="B5">
        <f>Assumptions!B2</f>
        <v>5000000</v>
      </c>
      <c r="C5">
        <f>B5*(1+Assumptions!B3)</f>
        <v>5250000</v>
      </c>
      <c r="D5">
        <f>C5*(1+Assumptions!B3)</f>
        <v>5512500</v>
      </c>
    </row>
    <row r="6" spans="1:4" x14ac:dyDescent="0.25">
      <c r="A6" s="2" t="s">
        <v>16</v>
      </c>
      <c r="B6">
        <f>B5*Assumptions!B4</f>
        <v>1000000</v>
      </c>
      <c r="C6">
        <f>C5*Assumptions!B4</f>
        <v>1050000</v>
      </c>
      <c r="D6">
        <f>D5*Assumptions!B4</f>
        <v>1102500</v>
      </c>
    </row>
    <row r="7" spans="1:4" x14ac:dyDescent="0.25">
      <c r="A7" s="2" t="s">
        <v>17</v>
      </c>
      <c r="B7">
        <f>B6-Assumptions!B9</f>
        <v>900000</v>
      </c>
      <c r="C7">
        <f>C6-Assumptions!B9</f>
        <v>950000</v>
      </c>
      <c r="D7">
        <f>D6-Assumptions!B9</f>
        <v>1002500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E6"/>
  <sheetViews>
    <sheetView tabSelected="1" workbookViewId="0">
      <selection activeCell="D5" sqref="D5"/>
    </sheetView>
  </sheetViews>
  <sheetFormatPr defaultRowHeight="15" x14ac:dyDescent="0.25"/>
  <cols>
    <col min="1" max="1" width="15.85546875" customWidth="1"/>
  </cols>
  <sheetData>
    <row r="3" spans="1:5" x14ac:dyDescent="0.25">
      <c r="A3" t="s">
        <v>18</v>
      </c>
      <c r="B3">
        <f>Assumptions!B6</f>
        <v>600000</v>
      </c>
      <c r="C3">
        <f>B6</f>
        <v>400000</v>
      </c>
      <c r="D3">
        <f>C6</f>
        <v>200000</v>
      </c>
      <c r="E3">
        <f>D6</f>
        <v>0</v>
      </c>
    </row>
    <row r="4" spans="1:5" x14ac:dyDescent="0.25">
      <c r="A4" t="s">
        <v>19</v>
      </c>
      <c r="B4">
        <f>B3*Assumptions!B7</f>
        <v>36000</v>
      </c>
      <c r="C4">
        <f>C3*Assumptions!B7</f>
        <v>24000</v>
      </c>
      <c r="D4">
        <f>D3*Assumptions!B7</f>
        <v>12000</v>
      </c>
      <c r="E4">
        <f>E3*Assumptions!B7</f>
        <v>0</v>
      </c>
    </row>
    <row r="5" spans="1:5" x14ac:dyDescent="0.25">
      <c r="A5" t="s">
        <v>20</v>
      </c>
      <c r="B5">
        <f>Assumptions!B6/Assumptions!B8</f>
        <v>200000</v>
      </c>
      <c r="C5">
        <f>B5</f>
        <v>200000</v>
      </c>
      <c r="D5">
        <f>C5</f>
        <v>200000</v>
      </c>
    </row>
    <row r="6" spans="1:5" x14ac:dyDescent="0.25">
      <c r="A6" t="s">
        <v>21</v>
      </c>
      <c r="B6">
        <f>B3-B5</f>
        <v>400000</v>
      </c>
      <c r="C6">
        <f>C3-C5</f>
        <v>200000</v>
      </c>
      <c r="D6">
        <f>D3-D5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Assumptions</vt:lpstr>
      <vt:lpstr>Model</vt:lpstr>
      <vt:lpstr>Debt_Model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♕ Андрей ☝</cp:lastModifiedBy>
  <dcterms:created xsi:type="dcterms:W3CDTF">2026-02-24T19:48:44Z</dcterms:created>
  <dcterms:modified xsi:type="dcterms:W3CDTF">2026-02-24T20:10:21Z</dcterms:modified>
</cp:coreProperties>
</file>